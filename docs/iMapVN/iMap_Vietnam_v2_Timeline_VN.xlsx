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ach cong viec" sheetId="1" r:id="rId4"/>
  </sheets>
  <definedNames/>
  <calcPr/>
  <extLst>
    <ext uri="GoogleSheetsCustomDataVersion2">
      <go:sheetsCustomData xmlns:go="http://customooxmlschemas.google.com/" r:id="rId5" roundtripDataChecksum="nXCt5auxpCEjPzqqdCotktoXVR4Fz1360IxQgGyOpH8="/>
    </ext>
  </extLst>
</workbook>
</file>

<file path=xl/sharedStrings.xml><?xml version="1.0" encoding="utf-8"?>
<sst xmlns="http://schemas.openxmlformats.org/spreadsheetml/2006/main" count="299" uniqueCount="161">
  <si>
    <t>iMap Vietnam v2.0 — Danh sách công việc &amp; Kế hoạch triển khai</t>
  </si>
  <si>
    <t>BRD-IMAP-2025-01  |  IID - imapvietnam.org  |  Thoi gian: 02/03/2026 - 01/07/2026</t>
  </si>
  <si>
    <t>Giao đoạn</t>
  </si>
  <si>
    <t>Phân loại</t>
  </si>
  <si>
    <t>Task ID</t>
  </si>
  <si>
    <t>Tên công việc</t>
  </si>
  <si>
    <t>Mô tả</t>
  </si>
  <si>
    <t>Độ ưu tiên</t>
  </si>
  <si>
    <t>Phụ Trách</t>
  </si>
  <si>
    <t>Ngày bắt đầu (dự kiến)</t>
  </si>
  <si>
    <t xml:space="preserve">Ngày kết thúc (dự kiến) </t>
  </si>
  <si>
    <t>Số ngày</t>
  </si>
  <si>
    <t>Trạng thái</t>
  </si>
  <si>
    <t>Ghi chú</t>
  </si>
  <si>
    <t>Giai đoạn 1 - Nền tảng  (02/03 - 25/04)</t>
  </si>
  <si>
    <t>Giai doan 1</t>
  </si>
  <si>
    <t>Nền tảng</t>
  </si>
  <si>
    <t>T-001</t>
  </si>
  <si>
    <t>Kick-off dự án iMap hiện hữu</t>
  </si>
  <si>
    <t>First meeting dự án iMap, hiểu tổng quan dự án hiện hữu</t>
  </si>
  <si>
    <t>Bắt buộc</t>
  </si>
  <si>
    <t>PM / BA</t>
  </si>
  <si>
    <t>Hoàn tất</t>
  </si>
  <si>
    <t>T-002</t>
  </si>
  <si>
    <t>Thảo luận vấn đề và mong muốn version 2</t>
  </si>
  <si>
    <t>Tìm hiểu vấn đề và hiểu được mong muốn nghiệp vụ sắp tới</t>
  </si>
  <si>
    <t>T-003</t>
  </si>
  <si>
    <t>Đánh giá và phân tích dự liệu từ nghiệp vụ</t>
  </si>
  <si>
    <t>So sánh và đánh giá dữ liệu đầu vào</t>
  </si>
  <si>
    <t>PM/BA/Dev</t>
  </si>
  <si>
    <t>Thống nhất với bên NV và chốt phương án thực hiện nên thời gian lâu</t>
  </si>
  <si>
    <t>T-004</t>
  </si>
  <si>
    <t>Thống nhất định dạng dữ liệu và phân loại</t>
  </si>
  <si>
    <t>Tìm format data và thu thập/phân loại trường dữ liệu cần thiết</t>
  </si>
  <si>
    <t>T-005</t>
  </si>
  <si>
    <t>Viết BRD dự án</t>
  </si>
  <si>
    <t>Tài liệu yêu cầu nghiệp vụ dựa trên bản iMap hiện hữu</t>
  </si>
  <si>
    <t>PM</t>
  </si>
  <si>
    <t>T-006</t>
  </si>
  <si>
    <t>Wireframe UI/UX</t>
  </si>
  <si>
    <t>Thiết kế wireframe cho Public, Premium, Admin, Enterprise</t>
  </si>
  <si>
    <t>PM/ Dev</t>
  </si>
  <si>
    <t>Chờ thực hiện</t>
  </si>
  <si>
    <t>T-007</t>
  </si>
  <si>
    <t>Thiết lập môi trường Dev</t>
  </si>
  <si>
    <t>Build based-code web bằng Python, thống nhất database sử dụng</t>
  </si>
  <si>
    <t xml:space="preserve">Dev </t>
  </si>
  <si>
    <t>T-008</t>
  </si>
  <si>
    <t>Thiết kế kiến trúc hệ thống</t>
  </si>
  <si>
    <t>Thiết kế backend, frontend, schema DB, luồng xác thực</t>
  </si>
  <si>
    <t>Ưu tiên mã nguồn mở theo ràng buộc BRD</t>
  </si>
  <si>
    <t>T-009</t>
  </si>
  <si>
    <t>Tham chiếu ImpactLink + Candid</t>
  </si>
  <si>
    <t>T-011</t>
  </si>
  <si>
    <t>Kế hoạch di chuyển dữ liệu</t>
  </si>
  <si>
    <t>Lên kế hoạch migrate dataset iMap v1.0 sang schema mới</t>
  </si>
  <si>
    <t>Không có data schema version 1, nên phải build lại từ đầu (dự tính mất thời gian)</t>
  </si>
  <si>
    <t>Giai doan 2 - Phát triển tính năng cốt lõi (11/04 - 15/05)</t>
  </si>
  <si>
    <t>Giai doan 2</t>
  </si>
  <si>
    <t>Đăng ký</t>
  </si>
  <si>
    <t>T-012</t>
  </si>
  <si>
    <t>Đăng ký &amp; Xác thực tài khoản</t>
  </si>
  <si>
    <t>Đăng nhập qua email/Google/Facebook, phân quyền theo vai trò</t>
  </si>
  <si>
    <t>Dev</t>
  </si>
  <si>
    <t>T-013</t>
  </si>
  <si>
    <t>Tạo hồ sơ tổ chức</t>
  </si>
  <si>
    <t>Tạo pin: logo, ảnh bìa, sản phẩm/dịch vụ, website, video</t>
  </si>
  <si>
    <t>IID Team</t>
  </si>
  <si>
    <t>Báo trước team IID ngày 30/03 để chuẩn bị</t>
  </si>
  <si>
    <t>T-014</t>
  </si>
  <si>
    <t>Tìm kiếm &amp; Lọc tổ chức</t>
  </si>
  <si>
    <t>Tìm theo tên, loại hình (SE/SIB/IB), lĩnh vực, SDG, tỉnh/TP</t>
  </si>
  <si>
    <t>Xác thực</t>
  </si>
  <si>
    <t>T-015</t>
  </si>
  <si>
    <t>Luồng xác thực (Blue Tick)</t>
  </si>
  <si>
    <t>4 bước xác thực email; IID rà soát và cấp nhãn Verified</t>
  </si>
  <si>
    <t>Dev / IID</t>
  </si>
  <si>
    <t>Sẽ thảo luận sau</t>
  </si>
  <si>
    <t>T-016</t>
  </si>
  <si>
    <t>Bảng hỏi Impactonomy</t>
  </si>
  <si>
    <t>Số hóa bảng hỏi thành viên 5 trang + SIM Tools</t>
  </si>
  <si>
    <t>Quản trị</t>
  </si>
  <si>
    <t>T-017</t>
  </si>
  <si>
    <t>Trang quản trị Admin (CRUD)</t>
  </si>
  <si>
    <t>Admin quản lý danh sách, phê duyệt/từ chối đăng ký</t>
  </si>
  <si>
    <t>Tương tác</t>
  </si>
  <si>
    <t>T-018</t>
  </si>
  <si>
    <t>Trình bày dữ liệu trên dashboard</t>
  </si>
  <si>
    <t>Cho phép cật nhật dữ liệu trên web</t>
  </si>
  <si>
    <t>Dashboard</t>
  </si>
  <si>
    <t>T-019</t>
  </si>
  <si>
    <t>Dashboard doanh nghiệp tự cập nhật</t>
  </si>
  <si>
    <t>Cập nhật KPI định kỳ: doanh thu xã hội, số người hưởng lợi, ESG</t>
  </si>
  <si>
    <t>Nên có</t>
  </si>
  <si>
    <t>T-020</t>
  </si>
  <si>
    <t>Dashboard phân tích Admin</t>
  </si>
  <si>
    <t>Thống kê: số đăng ký, tỷ lệ xác thực, phân bố địa lý, lượt truy cập</t>
  </si>
  <si>
    <t>T-021</t>
  </si>
  <si>
    <r>
      <rPr>
        <rFont val="Arial"/>
        <b/>
        <color rgb="FF000000"/>
        <sz val="10.0"/>
      </rPr>
      <t>Thẩm định chuyên sâu (Gold Mark 1–5</t>
    </r>
    <r>
      <rPr>
        <rFont val="Times New Roman"/>
        <b/>
        <color rgb="FF000000"/>
        <sz val="10.0"/>
      </rPr>
      <t>★</t>
    </r>
    <r>
      <rPr>
        <rFont val="Arial"/>
        <b/>
        <color rgb="FF000000"/>
        <sz val="10.0"/>
      </rPr>
      <t>)</t>
    </r>
  </si>
  <si>
    <t>IID phỏng vấn + thẩm định chuyên sâu, cấp Gold Mark</t>
  </si>
  <si>
    <t>Giai doan 3 - Trực quan hoá &amp; Analytics  (28/04 - 25/05)</t>
  </si>
  <si>
    <t>Giai doan 3</t>
  </si>
  <si>
    <t>Trực quan hóa</t>
  </si>
  <si>
    <t>T-022</t>
  </si>
  <si>
    <t>Dashboard công khai (Tổng quan)</t>
  </si>
  <si>
    <t>Dashboard public: số tổ chức theo vùng/năm, heatmap SDGs</t>
  </si>
  <si>
    <t>Giới hạn trường dữ liệu cho public</t>
  </si>
  <si>
    <t>T-023</t>
  </si>
  <si>
    <t>Giới hạn những thông tin Free/Premium</t>
  </si>
  <si>
    <t>Phân tích và tổng hợp thông tin Free/Premium</t>
  </si>
  <si>
    <t>Phân loại dữ liệu cho tk Free/Premium</t>
  </si>
  <si>
    <t>T-024</t>
  </si>
  <si>
    <t>Heatmap SDG &amp; Chồng lớp dữ liệu</t>
  </si>
  <si>
    <t>Heatmap tương tác; chồng lớp bản đồ nghèo + SIB nông nghiệp</t>
  </si>
  <si>
    <t>T-025</t>
  </si>
  <si>
    <t>Đồ thị mạng lưới hệ sinh thái</t>
  </si>
  <si>
    <t>Graph viz: tổ chức ↔ nhà đầu tư ↔ vườn ươm ↔ ESO</t>
  </si>
  <si>
    <t>Có thể có</t>
  </si>
  <si>
    <t>Báo cáo</t>
  </si>
  <si>
    <t>T-026</t>
  </si>
  <si>
    <t>Xuất báo cáo theo quý / năm</t>
  </si>
  <si>
    <t>Xuất PDF/Excel theo quý và năm; import Excel để visualize</t>
  </si>
  <si>
    <t>Yêu cầu nghiệp vụ cốt lõi từ BRD</t>
  </si>
  <si>
    <t>T-027</t>
  </si>
  <si>
    <t>Import Excel &amp; Visualize</t>
  </si>
  <si>
    <t>Admin upload Excel → tự động render biểu đồ lên web dashboard</t>
  </si>
  <si>
    <t>Use case chính từ ghi chú BRD</t>
  </si>
  <si>
    <t>Thành viên</t>
  </si>
  <si>
    <t>T-028</t>
  </si>
  <si>
    <t>Kiểm soát truy cập Premium</t>
  </si>
  <si>
    <t>Người dùng Premium xem chi tiết tổ chức, liên hệ đại diện</t>
  </si>
  <si>
    <t>Phân cấp truy cập dữ liệu theo BRD</t>
  </si>
  <si>
    <t>Pipeline</t>
  </si>
  <si>
    <t>T-029</t>
  </si>
  <si>
    <t>Đồng bộ raothuong.vn</t>
  </si>
  <si>
    <t>Tự động đồng bộ tổ chức đạt chuẩn lên sàn TMĐT xanh</t>
  </si>
  <si>
    <t>Giai doan 4 - Tuan thu, QA &amp; Ra mat  (18/05 - 01/06)</t>
  </si>
  <si>
    <t>Giai doan 4</t>
  </si>
  <si>
    <t>Tuân thủ</t>
  </si>
  <si>
    <t>T-030</t>
  </si>
  <si>
    <t>Thảo luận đưa lên production (deployment)</t>
  </si>
  <si>
    <t xml:space="preserve">Cần thống nhất chi phí deployment, trước mắt sẽ sử dụng local </t>
  </si>
  <si>
    <t>Legal / Tech</t>
  </si>
  <si>
    <t>QA</t>
  </si>
  <si>
    <t>T-031</t>
  </si>
  <si>
    <t>Kiểm thử chấp nhận người dùng (UAT)</t>
  </si>
  <si>
    <t>UAT toàn diện với đội ngũ IID + doanh nghiệp thí điểm</t>
  </si>
  <si>
    <t>BA / QA</t>
  </si>
  <si>
    <t>T-032</t>
  </si>
  <si>
    <t>Kiểm thử hiệu năng &amp; tải</t>
  </si>
  <si>
    <t>Benchmark cho 10K+ lượt/tháng, retention ≥ 40%</t>
  </si>
  <si>
    <t>Test chịu tải hệ thống</t>
  </si>
  <si>
    <t>Ra mắt</t>
  </si>
  <si>
    <t>T-033</t>
  </si>
  <si>
    <t>Soft Launch &amp; Chiến dịch onboarding</t>
  </si>
  <si>
    <t>Onboard 100 doanh nghiệp đầu tiên, theo dõi KPI, sửa lỗi</t>
  </si>
  <si>
    <t>Dự kiến</t>
  </si>
  <si>
    <t>T-034</t>
  </si>
  <si>
    <t>Tài liệu hướng dẫn &amp; Đào tạo</t>
  </si>
  <si>
    <t>Hướng dẫn admin/người dùng, đào tạo nội bộ cho IID</t>
  </si>
  <si>
    <t>IID sẽ trải nghiêm và làm file hướng dẫn sử dụng các tác vụ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</si>
</sst>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5.0"/>
      <color rgb="FFFFFFFF"/>
      <name val="Arial"/>
    </font>
    <font/>
    <font>
      <i/>
      <sz val="10.0"/>
      <color rgb="FF7F8C8D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C0392B"/>
      <name val="Arial"/>
    </font>
    <font>
      <b/>
      <sz val="10.0"/>
      <color rgb="FF2E86C1"/>
      <name val="Arial"/>
    </font>
    <font>
      <b/>
      <sz val="10.0"/>
      <color rgb="FF7F8C8D"/>
      <name val="Arial"/>
    </font>
    <font>
      <b/>
      <sz val="10.0"/>
      <color rgb="FFD35400"/>
      <name val="Arial"/>
    </font>
    <font>
      <b/>
      <sz val="10.0"/>
      <color rgb="FF27AE6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F2F3F4"/>
        <bgColor rgb="FFF2F3F4"/>
      </patternFill>
    </fill>
    <fill>
      <patternFill patternType="solid">
        <fgColor rgb="FF2E86C1"/>
        <bgColor rgb="FF2E86C1"/>
      </patternFill>
    </fill>
    <fill>
      <patternFill patternType="solid">
        <fgColor rgb="FFD6EAF8"/>
        <bgColor rgb="FFD6EAF8"/>
      </patternFill>
    </fill>
    <fill>
      <patternFill patternType="solid">
        <fgColor rgb="FF1A9E6B"/>
        <bgColor rgb="FF1A9E6B"/>
      </patternFill>
    </fill>
    <fill>
      <patternFill patternType="solid">
        <fgColor rgb="FFD5F5E3"/>
        <bgColor rgb="FFD5F5E3"/>
      </patternFill>
    </fill>
    <fill>
      <patternFill patternType="solid">
        <fgColor rgb="FFFFFF00"/>
        <bgColor rgb="FFFFFF00"/>
      </patternFill>
    </fill>
    <fill>
      <patternFill patternType="solid">
        <fgColor rgb="FFD4AC0D"/>
        <bgColor rgb="FFD4AC0D"/>
      </patternFill>
    </fill>
    <fill>
      <patternFill patternType="solid">
        <fgColor rgb="FFFEF9E7"/>
        <bgColor rgb="FFFEF9E7"/>
      </patternFill>
    </fill>
    <fill>
      <patternFill patternType="solid">
        <fgColor rgb="FF884EA0"/>
        <bgColor rgb="FF884EA0"/>
      </patternFill>
    </fill>
    <fill>
      <patternFill patternType="solid">
        <fgColor rgb="FFF4ECF7"/>
        <bgColor rgb="FFF4EC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vertical="center"/>
    </xf>
    <xf borderId="4" fillId="5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1" fillId="6" fontId="4" numFmtId="0" xfId="0" applyAlignment="1" applyBorder="1" applyFill="1" applyFont="1">
      <alignment horizontal="left" vertical="center"/>
    </xf>
    <xf borderId="4" fillId="7" fontId="5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7" fontId="9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4" fillId="7" fontId="10" numFmtId="0" xfId="0" applyAlignment="1" applyBorder="1" applyFont="1">
      <alignment horizontal="center" shrinkToFit="0" vertical="center" wrapText="1"/>
    </xf>
    <xf borderId="4" fillId="8" fontId="10" numFmtId="0" xfId="0" applyAlignment="1" applyBorder="1" applyFont="1">
      <alignment horizontal="center" shrinkToFit="0" vertical="center" wrapText="1"/>
    </xf>
    <xf borderId="1" fillId="9" fontId="4" numFmtId="0" xfId="0" applyAlignment="1" applyBorder="1" applyFill="1" applyFont="1">
      <alignment horizontal="left" vertical="center"/>
    </xf>
    <xf borderId="4" fillId="10" fontId="5" numFmtId="0" xfId="0" applyAlignment="1" applyBorder="1" applyFill="1" applyFont="1">
      <alignment horizontal="center" shrinkToFit="0" vertical="center" wrapText="1"/>
    </xf>
    <xf borderId="4" fillId="10" fontId="6" numFmtId="0" xfId="0" applyAlignment="1" applyBorder="1" applyFont="1">
      <alignment horizontal="left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left"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4" fillId="10" fontId="9" numFmtId="0" xfId="0" applyAlignment="1" applyBorder="1" applyFont="1">
      <alignment horizontal="center"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4" fillId="10" fontId="11" numFmtId="0" xfId="0" applyAlignment="1" applyBorder="1" applyFont="1">
      <alignment horizontal="center" shrinkToFit="0" vertical="center" wrapText="1"/>
    </xf>
    <xf borderId="1" fillId="11" fontId="4" numFmtId="0" xfId="0" applyAlignment="1" applyBorder="1" applyFill="1" applyFont="1">
      <alignment horizontal="left" vertical="center"/>
    </xf>
    <xf borderId="4" fillId="12" fontId="5" numFmtId="0" xfId="0" applyAlignment="1" applyBorder="1" applyFill="1" applyFont="1">
      <alignment horizontal="center" shrinkToFit="0" vertical="center" wrapText="1"/>
    </xf>
    <xf borderId="4" fillId="12" fontId="6" numFmtId="0" xfId="0" applyAlignment="1" applyBorder="1" applyFont="1">
      <alignment horizontal="left" shrinkToFit="0" vertical="center" wrapText="1"/>
    </xf>
    <xf borderId="4" fillId="12" fontId="6" numFmtId="0" xfId="0" applyAlignment="1" applyBorder="1" applyFont="1">
      <alignment horizontal="center" shrinkToFit="0" vertical="center" wrapText="1"/>
    </xf>
    <xf borderId="4" fillId="12" fontId="5" numFmtId="0" xfId="0" applyAlignment="1" applyBorder="1" applyFont="1">
      <alignment horizontal="left" shrinkToFit="0" vertical="center" wrapText="1"/>
    </xf>
    <xf borderId="4" fillId="12" fontId="7" numFmtId="0" xfId="0" applyAlignment="1" applyBorder="1" applyFont="1">
      <alignment horizontal="center" shrinkToFit="0" vertical="center" wrapText="1"/>
    </xf>
    <xf borderId="4" fillId="12" fontId="9" numFmtId="0" xfId="0" applyAlignment="1" applyBorder="1" applyFont="1">
      <alignment horizontal="center" shrinkToFit="0" vertical="center" wrapText="1"/>
    </xf>
    <xf borderId="4" fillId="12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4.57"/>
    <col customWidth="1" min="3" max="3" width="12.0"/>
    <col customWidth="1" min="4" max="4" width="32.86"/>
    <col customWidth="1" min="5" max="5" width="50.0"/>
    <col customWidth="1" min="6" max="7" width="16.0"/>
    <col customWidth="1" min="8" max="9" width="14.0"/>
    <col customWidth="1" min="10" max="10" width="10.0"/>
    <col customWidth="1" min="11" max="11" width="16.0"/>
    <col customWidth="1" min="12" max="12" width="32.0"/>
    <col customWidth="1" min="13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7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21.75" customHeight="1">
      <c r="A4" s="6" t="s">
        <v>14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30.0" customHeight="1">
      <c r="A5" s="7" t="s">
        <v>15</v>
      </c>
      <c r="B5" s="8" t="s">
        <v>16</v>
      </c>
      <c r="C5" s="9" t="s">
        <v>17</v>
      </c>
      <c r="D5" s="10" t="s">
        <v>18</v>
      </c>
      <c r="E5" s="8" t="s">
        <v>19</v>
      </c>
      <c r="F5" s="11" t="s">
        <v>20</v>
      </c>
      <c r="G5" s="9" t="s">
        <v>21</v>
      </c>
      <c r="H5" s="9">
        <v>46083.0</v>
      </c>
      <c r="I5" s="9">
        <v>46083.0</v>
      </c>
      <c r="J5" s="9">
        <v>1.0</v>
      </c>
      <c r="K5" s="12" t="s">
        <v>22</v>
      </c>
      <c r="L5" s="8"/>
    </row>
    <row r="6" ht="30.0" customHeight="1">
      <c r="A6" s="7" t="s">
        <v>15</v>
      </c>
      <c r="B6" s="8" t="s">
        <v>16</v>
      </c>
      <c r="C6" s="9" t="s">
        <v>23</v>
      </c>
      <c r="D6" s="10" t="s">
        <v>24</v>
      </c>
      <c r="E6" s="8" t="s">
        <v>25</v>
      </c>
      <c r="F6" s="11" t="s">
        <v>20</v>
      </c>
      <c r="G6" s="9" t="s">
        <v>21</v>
      </c>
      <c r="H6" s="9">
        <v>46090.0</v>
      </c>
      <c r="I6" s="9">
        <v>46090.0</v>
      </c>
      <c r="J6" s="9">
        <v>1.0</v>
      </c>
      <c r="K6" s="12" t="s">
        <v>22</v>
      </c>
      <c r="L6" s="8"/>
    </row>
    <row r="7" ht="30.0" customHeight="1">
      <c r="A7" s="7" t="s">
        <v>15</v>
      </c>
      <c r="B7" s="8" t="s">
        <v>16</v>
      </c>
      <c r="C7" s="9" t="s">
        <v>26</v>
      </c>
      <c r="D7" s="10" t="s">
        <v>27</v>
      </c>
      <c r="E7" s="8" t="s">
        <v>28</v>
      </c>
      <c r="F7" s="11" t="s">
        <v>20</v>
      </c>
      <c r="G7" s="9" t="s">
        <v>29</v>
      </c>
      <c r="H7" s="9">
        <v>46091.0</v>
      </c>
      <c r="I7" s="9">
        <v>46093.0</v>
      </c>
      <c r="J7" s="9">
        <v>2.0</v>
      </c>
      <c r="K7" s="12" t="s">
        <v>22</v>
      </c>
      <c r="L7" s="8" t="s">
        <v>30</v>
      </c>
    </row>
    <row r="8" ht="30.0" customHeight="1">
      <c r="A8" s="7" t="s">
        <v>15</v>
      </c>
      <c r="B8" s="8" t="s">
        <v>16</v>
      </c>
      <c r="C8" s="9" t="s">
        <v>31</v>
      </c>
      <c r="D8" s="10" t="s">
        <v>32</v>
      </c>
      <c r="E8" s="8" t="s">
        <v>33</v>
      </c>
      <c r="F8" s="11" t="s">
        <v>20</v>
      </c>
      <c r="G8" s="9" t="s">
        <v>21</v>
      </c>
      <c r="H8" s="9">
        <v>46093.0</v>
      </c>
      <c r="I8" s="9">
        <v>46093.0</v>
      </c>
      <c r="J8" s="9">
        <v>1.0</v>
      </c>
      <c r="K8" s="12" t="s">
        <v>22</v>
      </c>
      <c r="L8" s="8"/>
    </row>
    <row r="9" ht="30.0" customHeight="1">
      <c r="A9" s="7" t="s">
        <v>15</v>
      </c>
      <c r="B9" s="8" t="s">
        <v>16</v>
      </c>
      <c r="C9" s="9" t="s">
        <v>34</v>
      </c>
      <c r="D9" s="10" t="s">
        <v>35</v>
      </c>
      <c r="E9" s="8" t="s">
        <v>36</v>
      </c>
      <c r="F9" s="11" t="s">
        <v>20</v>
      </c>
      <c r="G9" s="9" t="s">
        <v>37</v>
      </c>
      <c r="H9" s="9">
        <v>46094.0</v>
      </c>
      <c r="I9" s="9">
        <v>46096.0</v>
      </c>
      <c r="J9" s="9">
        <f t="shared" ref="J9:J14" si="1">I9-H9</f>
        <v>2</v>
      </c>
      <c r="K9" s="12" t="s">
        <v>22</v>
      </c>
      <c r="L9" s="8"/>
    </row>
    <row r="10" ht="30.0" customHeight="1">
      <c r="A10" s="7" t="s">
        <v>15</v>
      </c>
      <c r="B10" s="8" t="s">
        <v>16</v>
      </c>
      <c r="C10" s="9" t="s">
        <v>38</v>
      </c>
      <c r="D10" s="10" t="s">
        <v>39</v>
      </c>
      <c r="E10" s="8" t="s">
        <v>40</v>
      </c>
      <c r="F10" s="11" t="s">
        <v>20</v>
      </c>
      <c r="G10" s="9" t="s">
        <v>41</v>
      </c>
      <c r="H10" s="9">
        <v>46117.0</v>
      </c>
      <c r="I10" s="9">
        <v>46126.0</v>
      </c>
      <c r="J10" s="9">
        <f t="shared" si="1"/>
        <v>9</v>
      </c>
      <c r="K10" s="13" t="s">
        <v>42</v>
      </c>
      <c r="L10" s="8"/>
    </row>
    <row r="11" ht="30.0" customHeight="1">
      <c r="A11" s="7" t="s">
        <v>15</v>
      </c>
      <c r="B11" s="8" t="s">
        <v>16</v>
      </c>
      <c r="C11" s="9" t="s">
        <v>43</v>
      </c>
      <c r="D11" s="10" t="s">
        <v>44</v>
      </c>
      <c r="E11" s="8" t="s">
        <v>45</v>
      </c>
      <c r="F11" s="11" t="s">
        <v>20</v>
      </c>
      <c r="G11" s="9" t="s">
        <v>46</v>
      </c>
      <c r="H11" s="9">
        <v>46117.0</v>
      </c>
      <c r="I11" s="9">
        <v>46124.0</v>
      </c>
      <c r="J11" s="9">
        <f t="shared" si="1"/>
        <v>7</v>
      </c>
      <c r="K11" s="13" t="s">
        <v>42</v>
      </c>
      <c r="L11" s="8"/>
    </row>
    <row r="12" ht="30.0" customHeight="1">
      <c r="A12" s="7" t="s">
        <v>15</v>
      </c>
      <c r="B12" s="8" t="s">
        <v>16</v>
      </c>
      <c r="C12" s="9" t="s">
        <v>47</v>
      </c>
      <c r="D12" s="10" t="s">
        <v>48</v>
      </c>
      <c r="E12" s="8" t="s">
        <v>49</v>
      </c>
      <c r="F12" s="11" t="s">
        <v>20</v>
      </c>
      <c r="G12" s="9" t="s">
        <v>46</v>
      </c>
      <c r="H12" s="9">
        <v>46125.0</v>
      </c>
      <c r="I12" s="9">
        <v>46134.0</v>
      </c>
      <c r="J12" s="9">
        <f t="shared" si="1"/>
        <v>9</v>
      </c>
      <c r="K12" s="13" t="s">
        <v>42</v>
      </c>
      <c r="L12" s="8" t="s">
        <v>50</v>
      </c>
    </row>
    <row r="13" ht="30.0" customHeight="1">
      <c r="A13" s="7" t="s">
        <v>15</v>
      </c>
      <c r="B13" s="8" t="s">
        <v>16</v>
      </c>
      <c r="C13" s="9" t="s">
        <v>51</v>
      </c>
      <c r="D13" s="10" t="s">
        <v>39</v>
      </c>
      <c r="E13" s="8" t="s">
        <v>40</v>
      </c>
      <c r="F13" s="11" t="s">
        <v>20</v>
      </c>
      <c r="G13" s="9" t="s">
        <v>37</v>
      </c>
      <c r="H13" s="9">
        <v>46125.0</v>
      </c>
      <c r="I13" s="9">
        <v>46134.0</v>
      </c>
      <c r="J13" s="9">
        <f t="shared" si="1"/>
        <v>9</v>
      </c>
      <c r="K13" s="13" t="s">
        <v>42</v>
      </c>
      <c r="L13" s="8" t="s">
        <v>52</v>
      </c>
    </row>
    <row r="14" ht="30.0" customHeight="1">
      <c r="A14" s="7" t="s">
        <v>15</v>
      </c>
      <c r="B14" s="8" t="s">
        <v>16</v>
      </c>
      <c r="C14" s="9" t="s">
        <v>53</v>
      </c>
      <c r="D14" s="10" t="s">
        <v>54</v>
      </c>
      <c r="E14" s="8" t="s">
        <v>55</v>
      </c>
      <c r="F14" s="11" t="s">
        <v>20</v>
      </c>
      <c r="G14" s="9" t="s">
        <v>41</v>
      </c>
      <c r="H14" s="9">
        <v>46134.0</v>
      </c>
      <c r="I14" s="9">
        <v>46137.0</v>
      </c>
      <c r="J14" s="9">
        <f t="shared" si="1"/>
        <v>3</v>
      </c>
      <c r="K14" s="13" t="s">
        <v>42</v>
      </c>
      <c r="L14" s="8" t="s">
        <v>56</v>
      </c>
    </row>
    <row r="15" ht="21.75" customHeight="1">
      <c r="A15" s="14" t="s">
        <v>57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</row>
    <row r="16" ht="30.0" customHeight="1">
      <c r="A16" s="15" t="s">
        <v>58</v>
      </c>
      <c r="B16" s="16" t="s">
        <v>59</v>
      </c>
      <c r="C16" s="17" t="s">
        <v>60</v>
      </c>
      <c r="D16" s="18" t="s">
        <v>61</v>
      </c>
      <c r="E16" s="18" t="s">
        <v>62</v>
      </c>
      <c r="F16" s="19" t="s">
        <v>20</v>
      </c>
      <c r="G16" s="17" t="s">
        <v>63</v>
      </c>
      <c r="H16" s="17">
        <v>46138.0</v>
      </c>
      <c r="I16" s="17">
        <v>46145.0</v>
      </c>
      <c r="J16" s="17">
        <f t="shared" ref="J16:J25" si="2">I16-H16</f>
        <v>7</v>
      </c>
      <c r="K16" s="20" t="s">
        <v>42</v>
      </c>
      <c r="L16" s="16"/>
    </row>
    <row r="17" ht="30.0" customHeight="1">
      <c r="A17" s="21" t="s">
        <v>58</v>
      </c>
      <c r="B17" s="22" t="s">
        <v>59</v>
      </c>
      <c r="C17" s="23" t="s">
        <v>64</v>
      </c>
      <c r="D17" s="24" t="s">
        <v>65</v>
      </c>
      <c r="E17" s="22" t="s">
        <v>66</v>
      </c>
      <c r="F17" s="25" t="s">
        <v>20</v>
      </c>
      <c r="G17" s="23" t="s">
        <v>67</v>
      </c>
      <c r="H17" s="23">
        <v>46138.0</v>
      </c>
      <c r="I17" s="23">
        <v>46145.0</v>
      </c>
      <c r="J17" s="23">
        <f t="shared" si="2"/>
        <v>7</v>
      </c>
      <c r="K17" s="26" t="s">
        <v>42</v>
      </c>
      <c r="L17" s="22" t="s">
        <v>68</v>
      </c>
    </row>
    <row r="18" ht="30.0" customHeight="1">
      <c r="A18" s="21" t="s">
        <v>58</v>
      </c>
      <c r="B18" s="22" t="s">
        <v>59</v>
      </c>
      <c r="C18" s="23" t="s">
        <v>69</v>
      </c>
      <c r="D18" s="24" t="s">
        <v>70</v>
      </c>
      <c r="E18" s="22" t="s">
        <v>71</v>
      </c>
      <c r="F18" s="25" t="s">
        <v>20</v>
      </c>
      <c r="G18" s="23" t="s">
        <v>67</v>
      </c>
      <c r="H18" s="23">
        <v>46146.0</v>
      </c>
      <c r="I18" s="23">
        <v>46157.0</v>
      </c>
      <c r="J18" s="23">
        <f t="shared" si="2"/>
        <v>11</v>
      </c>
      <c r="K18" s="26" t="s">
        <v>42</v>
      </c>
      <c r="L18" s="22" t="s">
        <v>68</v>
      </c>
    </row>
    <row r="19" ht="30.0" customHeight="1">
      <c r="A19" s="15" t="s">
        <v>58</v>
      </c>
      <c r="B19" s="16" t="s">
        <v>72</v>
      </c>
      <c r="C19" s="17" t="s">
        <v>73</v>
      </c>
      <c r="D19" s="18" t="s">
        <v>74</v>
      </c>
      <c r="E19" s="18" t="s">
        <v>75</v>
      </c>
      <c r="F19" s="19" t="s">
        <v>20</v>
      </c>
      <c r="G19" s="17" t="s">
        <v>76</v>
      </c>
      <c r="H19" s="17">
        <v>46157.0</v>
      </c>
      <c r="I19" s="17">
        <v>46162.0</v>
      </c>
      <c r="J19" s="17">
        <f t="shared" si="2"/>
        <v>5</v>
      </c>
      <c r="K19" s="20" t="s">
        <v>42</v>
      </c>
      <c r="L19" s="16" t="s">
        <v>77</v>
      </c>
    </row>
    <row r="20" ht="30.0" customHeight="1">
      <c r="A20" s="15" t="s">
        <v>58</v>
      </c>
      <c r="B20" s="16" t="s">
        <v>72</v>
      </c>
      <c r="C20" s="17" t="s">
        <v>78</v>
      </c>
      <c r="D20" s="18" t="s">
        <v>79</v>
      </c>
      <c r="E20" s="16" t="s">
        <v>80</v>
      </c>
      <c r="F20" s="19" t="s">
        <v>20</v>
      </c>
      <c r="G20" s="17" t="s">
        <v>76</v>
      </c>
      <c r="H20" s="17">
        <v>46162.0</v>
      </c>
      <c r="I20" s="17">
        <v>46171.0</v>
      </c>
      <c r="J20" s="17">
        <f t="shared" si="2"/>
        <v>9</v>
      </c>
      <c r="K20" s="20" t="s">
        <v>42</v>
      </c>
      <c r="L20" s="16"/>
    </row>
    <row r="21" ht="30.0" customHeight="1">
      <c r="A21" s="15" t="s">
        <v>58</v>
      </c>
      <c r="B21" s="16" t="s">
        <v>81</v>
      </c>
      <c r="C21" s="17" t="s">
        <v>82</v>
      </c>
      <c r="D21" s="18" t="s">
        <v>83</v>
      </c>
      <c r="E21" s="18" t="s">
        <v>84</v>
      </c>
      <c r="F21" s="19" t="s">
        <v>20</v>
      </c>
      <c r="G21" s="17" t="s">
        <v>63</v>
      </c>
      <c r="H21" s="17">
        <v>46172.0</v>
      </c>
      <c r="I21" s="17">
        <v>46176.0</v>
      </c>
      <c r="J21" s="17">
        <f t="shared" si="2"/>
        <v>4</v>
      </c>
      <c r="K21" s="20" t="s">
        <v>42</v>
      </c>
      <c r="L21" s="16"/>
    </row>
    <row r="22" ht="30.0" customHeight="1">
      <c r="A22" s="15" t="s">
        <v>58</v>
      </c>
      <c r="B22" s="16" t="s">
        <v>85</v>
      </c>
      <c r="C22" s="17" t="s">
        <v>86</v>
      </c>
      <c r="D22" s="18" t="s">
        <v>87</v>
      </c>
      <c r="E22" s="16" t="s">
        <v>88</v>
      </c>
      <c r="F22" s="19" t="s">
        <v>20</v>
      </c>
      <c r="G22" s="17" t="s">
        <v>63</v>
      </c>
      <c r="H22" s="17">
        <v>46140.0</v>
      </c>
      <c r="I22" s="17">
        <v>46150.0</v>
      </c>
      <c r="J22" s="17">
        <f t="shared" si="2"/>
        <v>10</v>
      </c>
      <c r="K22" s="20" t="s">
        <v>42</v>
      </c>
      <c r="L22" s="16"/>
    </row>
    <row r="23" ht="30.0" customHeight="1">
      <c r="A23" s="15" t="s">
        <v>58</v>
      </c>
      <c r="B23" s="16" t="s">
        <v>89</v>
      </c>
      <c r="C23" s="17" t="s">
        <v>90</v>
      </c>
      <c r="D23" s="18" t="s">
        <v>91</v>
      </c>
      <c r="E23" s="16" t="s">
        <v>92</v>
      </c>
      <c r="F23" s="27" t="s">
        <v>93</v>
      </c>
      <c r="G23" s="17" t="s">
        <v>67</v>
      </c>
      <c r="H23" s="17"/>
      <c r="I23" s="17"/>
      <c r="J23" s="17">
        <f t="shared" si="2"/>
        <v>0</v>
      </c>
      <c r="K23" s="20" t="s">
        <v>42</v>
      </c>
      <c r="L23" s="16"/>
    </row>
    <row r="24" ht="30.0" customHeight="1">
      <c r="A24" s="15" t="s">
        <v>58</v>
      </c>
      <c r="B24" s="16" t="s">
        <v>81</v>
      </c>
      <c r="C24" s="17" t="s">
        <v>94</v>
      </c>
      <c r="D24" s="18" t="s">
        <v>95</v>
      </c>
      <c r="E24" s="18" t="s">
        <v>96</v>
      </c>
      <c r="F24" s="27" t="s">
        <v>93</v>
      </c>
      <c r="G24" s="17" t="s">
        <v>63</v>
      </c>
      <c r="H24" s="17"/>
      <c r="I24" s="17"/>
      <c r="J24" s="17">
        <f t="shared" si="2"/>
        <v>0</v>
      </c>
      <c r="K24" s="20" t="s">
        <v>42</v>
      </c>
      <c r="L24" s="16"/>
    </row>
    <row r="25" ht="30.0" customHeight="1">
      <c r="A25" s="21" t="s">
        <v>58</v>
      </c>
      <c r="B25" s="22" t="s">
        <v>72</v>
      </c>
      <c r="C25" s="23" t="s">
        <v>97</v>
      </c>
      <c r="D25" s="24" t="s">
        <v>98</v>
      </c>
      <c r="E25" s="22" t="s">
        <v>99</v>
      </c>
      <c r="F25" s="28" t="s">
        <v>93</v>
      </c>
      <c r="G25" s="23" t="s">
        <v>67</v>
      </c>
      <c r="H25" s="23">
        <v>46172.0</v>
      </c>
      <c r="I25" s="23">
        <v>46176.0</v>
      </c>
      <c r="J25" s="23">
        <f t="shared" si="2"/>
        <v>4</v>
      </c>
      <c r="K25" s="26" t="s">
        <v>42</v>
      </c>
      <c r="L25" s="22"/>
    </row>
    <row r="26" ht="21.75" customHeight="1">
      <c r="A26" s="29" t="s">
        <v>100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ht="30.0" customHeight="1">
      <c r="A27" s="30" t="s">
        <v>101</v>
      </c>
      <c r="B27" s="31" t="s">
        <v>102</v>
      </c>
      <c r="C27" s="32" t="s">
        <v>103</v>
      </c>
      <c r="D27" s="33" t="s">
        <v>104</v>
      </c>
      <c r="E27" s="31" t="s">
        <v>105</v>
      </c>
      <c r="F27" s="34" t="s">
        <v>20</v>
      </c>
      <c r="G27" s="32" t="s">
        <v>63</v>
      </c>
      <c r="H27" s="32">
        <v>46178.0</v>
      </c>
      <c r="I27" s="32">
        <v>46181.0</v>
      </c>
      <c r="J27" s="32">
        <f t="shared" ref="J27:J34" si="3">I27-H27</f>
        <v>3</v>
      </c>
      <c r="K27" s="35" t="s">
        <v>42</v>
      </c>
      <c r="L27" s="31" t="s">
        <v>106</v>
      </c>
    </row>
    <row r="28" ht="30.0" customHeight="1">
      <c r="A28" s="30" t="s">
        <v>101</v>
      </c>
      <c r="B28" s="31" t="s">
        <v>81</v>
      </c>
      <c r="C28" s="32" t="s">
        <v>107</v>
      </c>
      <c r="D28" s="33" t="s">
        <v>108</v>
      </c>
      <c r="E28" s="31" t="s">
        <v>109</v>
      </c>
      <c r="F28" s="34" t="s">
        <v>20</v>
      </c>
      <c r="G28" s="32" t="s">
        <v>67</v>
      </c>
      <c r="H28" s="32">
        <v>46178.0</v>
      </c>
      <c r="I28" s="32">
        <v>46183.0</v>
      </c>
      <c r="J28" s="32">
        <f t="shared" si="3"/>
        <v>5</v>
      </c>
      <c r="K28" s="35" t="s">
        <v>42</v>
      </c>
      <c r="L28" s="31" t="s">
        <v>110</v>
      </c>
    </row>
    <row r="29" ht="30.0" customHeight="1">
      <c r="A29" s="30" t="s">
        <v>101</v>
      </c>
      <c r="B29" s="31" t="s">
        <v>102</v>
      </c>
      <c r="C29" s="32" t="s">
        <v>111</v>
      </c>
      <c r="D29" s="33" t="s">
        <v>112</v>
      </c>
      <c r="E29" s="31" t="s">
        <v>113</v>
      </c>
      <c r="F29" s="36" t="s">
        <v>93</v>
      </c>
      <c r="G29" s="32" t="s">
        <v>63</v>
      </c>
      <c r="H29" s="32"/>
      <c r="I29" s="32"/>
      <c r="J29" s="32">
        <f t="shared" si="3"/>
        <v>0</v>
      </c>
      <c r="K29" s="35" t="s">
        <v>42</v>
      </c>
      <c r="L29" s="31"/>
    </row>
    <row r="30" ht="30.0" customHeight="1">
      <c r="A30" s="30" t="s">
        <v>101</v>
      </c>
      <c r="B30" s="31" t="s">
        <v>102</v>
      </c>
      <c r="C30" s="32" t="s">
        <v>114</v>
      </c>
      <c r="D30" s="33" t="s">
        <v>115</v>
      </c>
      <c r="E30" s="31" t="s">
        <v>116</v>
      </c>
      <c r="F30" s="37" t="s">
        <v>117</v>
      </c>
      <c r="G30" s="32" t="s">
        <v>63</v>
      </c>
      <c r="H30" s="32"/>
      <c r="I30" s="32"/>
      <c r="J30" s="32">
        <f t="shared" si="3"/>
        <v>0</v>
      </c>
      <c r="K30" s="35" t="s">
        <v>42</v>
      </c>
      <c r="L30" s="31" t="s">
        <v>77</v>
      </c>
    </row>
    <row r="31" ht="30.0" customHeight="1">
      <c r="A31" s="30" t="s">
        <v>101</v>
      </c>
      <c r="B31" s="31" t="s">
        <v>118</v>
      </c>
      <c r="C31" s="32" t="s">
        <v>119</v>
      </c>
      <c r="D31" s="33" t="s">
        <v>120</v>
      </c>
      <c r="E31" s="31" t="s">
        <v>121</v>
      </c>
      <c r="F31" s="34" t="s">
        <v>20</v>
      </c>
      <c r="G31" s="32" t="s">
        <v>63</v>
      </c>
      <c r="H31" s="32">
        <v>46183.0</v>
      </c>
      <c r="I31" s="32">
        <v>46188.0</v>
      </c>
      <c r="J31" s="32">
        <f t="shared" si="3"/>
        <v>5</v>
      </c>
      <c r="K31" s="35" t="s">
        <v>42</v>
      </c>
      <c r="L31" s="31" t="s">
        <v>122</v>
      </c>
    </row>
    <row r="32" ht="30.0" customHeight="1">
      <c r="A32" s="30" t="s">
        <v>101</v>
      </c>
      <c r="B32" s="31" t="s">
        <v>118</v>
      </c>
      <c r="C32" s="32" t="s">
        <v>123</v>
      </c>
      <c r="D32" s="33" t="s">
        <v>124</v>
      </c>
      <c r="E32" s="31" t="s">
        <v>125</v>
      </c>
      <c r="F32" s="34" t="s">
        <v>20</v>
      </c>
      <c r="G32" s="32" t="s">
        <v>63</v>
      </c>
      <c r="H32" s="32">
        <v>46189.0</v>
      </c>
      <c r="I32" s="32">
        <v>46193.0</v>
      </c>
      <c r="J32" s="32">
        <f t="shared" si="3"/>
        <v>4</v>
      </c>
      <c r="K32" s="35" t="s">
        <v>42</v>
      </c>
      <c r="L32" s="31" t="s">
        <v>126</v>
      </c>
    </row>
    <row r="33" ht="30.0" customHeight="1">
      <c r="A33" s="30" t="s">
        <v>101</v>
      </c>
      <c r="B33" s="31" t="s">
        <v>127</v>
      </c>
      <c r="C33" s="32" t="s">
        <v>128</v>
      </c>
      <c r="D33" s="33" t="s">
        <v>129</v>
      </c>
      <c r="E33" s="31" t="s">
        <v>130</v>
      </c>
      <c r="F33" s="36" t="s">
        <v>93</v>
      </c>
      <c r="G33" s="32" t="s">
        <v>67</v>
      </c>
      <c r="H33" s="32"/>
      <c r="I33" s="32"/>
      <c r="J33" s="32">
        <f t="shared" si="3"/>
        <v>0</v>
      </c>
      <c r="K33" s="35" t="s">
        <v>42</v>
      </c>
      <c r="L33" s="31" t="s">
        <v>131</v>
      </c>
    </row>
    <row r="34" ht="30.0" customHeight="1">
      <c r="A34" s="30" t="s">
        <v>101</v>
      </c>
      <c r="B34" s="31" t="s">
        <v>132</v>
      </c>
      <c r="C34" s="32" t="s">
        <v>133</v>
      </c>
      <c r="D34" s="33" t="s">
        <v>134</v>
      </c>
      <c r="E34" s="31" t="s">
        <v>135</v>
      </c>
      <c r="F34" s="36" t="s">
        <v>93</v>
      </c>
      <c r="G34" s="32" t="s">
        <v>63</v>
      </c>
      <c r="H34" s="32"/>
      <c r="I34" s="32"/>
      <c r="J34" s="32">
        <f t="shared" si="3"/>
        <v>0</v>
      </c>
      <c r="K34" s="35" t="s">
        <v>42</v>
      </c>
      <c r="L34" s="31" t="s">
        <v>77</v>
      </c>
    </row>
    <row r="35" ht="21.75" customHeight="1">
      <c r="A35" s="38" t="s">
        <v>136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</row>
    <row r="36" ht="30.0" customHeight="1">
      <c r="A36" s="39" t="s">
        <v>137</v>
      </c>
      <c r="B36" s="40" t="s">
        <v>138</v>
      </c>
      <c r="C36" s="41" t="s">
        <v>139</v>
      </c>
      <c r="D36" s="42" t="s">
        <v>140</v>
      </c>
      <c r="E36" s="40" t="s">
        <v>141</v>
      </c>
      <c r="F36" s="43" t="s">
        <v>20</v>
      </c>
      <c r="G36" s="41" t="s">
        <v>142</v>
      </c>
      <c r="H36" s="41">
        <v>46191.0</v>
      </c>
      <c r="I36" s="41">
        <v>46199.0</v>
      </c>
      <c r="J36" s="41">
        <f t="shared" ref="J36:J40" si="4">I36-H36</f>
        <v>8</v>
      </c>
      <c r="K36" s="44" t="s">
        <v>42</v>
      </c>
      <c r="L36" s="40"/>
    </row>
    <row r="37" ht="30.0" customHeight="1">
      <c r="A37" s="39" t="s">
        <v>137</v>
      </c>
      <c r="B37" s="40" t="s">
        <v>143</v>
      </c>
      <c r="C37" s="41" t="s">
        <v>144</v>
      </c>
      <c r="D37" s="42" t="s">
        <v>145</v>
      </c>
      <c r="E37" s="40" t="s">
        <v>146</v>
      </c>
      <c r="F37" s="43" t="s">
        <v>20</v>
      </c>
      <c r="G37" s="41" t="s">
        <v>147</v>
      </c>
      <c r="H37" s="41">
        <v>46195.0</v>
      </c>
      <c r="I37" s="41">
        <v>46202.0</v>
      </c>
      <c r="J37" s="41">
        <f t="shared" si="4"/>
        <v>7</v>
      </c>
      <c r="K37" s="44" t="s">
        <v>42</v>
      </c>
      <c r="L37" s="40"/>
    </row>
    <row r="38" ht="30.0" customHeight="1">
      <c r="A38" s="39" t="s">
        <v>137</v>
      </c>
      <c r="B38" s="40" t="s">
        <v>143</v>
      </c>
      <c r="C38" s="41" t="s">
        <v>148</v>
      </c>
      <c r="D38" s="42" t="s">
        <v>149</v>
      </c>
      <c r="E38" s="40" t="s">
        <v>150</v>
      </c>
      <c r="F38" s="45" t="s">
        <v>93</v>
      </c>
      <c r="G38" s="41" t="s">
        <v>63</v>
      </c>
      <c r="H38" s="41">
        <v>46198.0</v>
      </c>
      <c r="I38" s="41">
        <v>46202.0</v>
      </c>
      <c r="J38" s="41">
        <f t="shared" si="4"/>
        <v>4</v>
      </c>
      <c r="K38" s="44" t="s">
        <v>42</v>
      </c>
      <c r="L38" s="40" t="s">
        <v>151</v>
      </c>
    </row>
    <row r="39" ht="30.0" customHeight="1">
      <c r="A39" s="39" t="s">
        <v>137</v>
      </c>
      <c r="B39" s="40" t="s">
        <v>152</v>
      </c>
      <c r="C39" s="41" t="s">
        <v>153</v>
      </c>
      <c r="D39" s="42" t="s">
        <v>154</v>
      </c>
      <c r="E39" s="40" t="s">
        <v>155</v>
      </c>
      <c r="F39" s="43" t="s">
        <v>20</v>
      </c>
      <c r="G39" s="41" t="s">
        <v>67</v>
      </c>
      <c r="H39" s="41">
        <v>46202.0</v>
      </c>
      <c r="I39" s="41">
        <v>46204.0</v>
      </c>
      <c r="J39" s="41">
        <f t="shared" si="4"/>
        <v>2</v>
      </c>
      <c r="K39" s="44" t="s">
        <v>42</v>
      </c>
      <c r="L39" s="40" t="s">
        <v>156</v>
      </c>
    </row>
    <row r="40" ht="30.0" customHeight="1">
      <c r="A40" s="21" t="s">
        <v>137</v>
      </c>
      <c r="B40" s="22" t="s">
        <v>152</v>
      </c>
      <c r="C40" s="23" t="s">
        <v>157</v>
      </c>
      <c r="D40" s="24" t="s">
        <v>158</v>
      </c>
      <c r="E40" s="22" t="s">
        <v>159</v>
      </c>
      <c r="F40" s="28" t="s">
        <v>93</v>
      </c>
      <c r="G40" s="23" t="s">
        <v>67</v>
      </c>
      <c r="H40" s="23">
        <v>46199.0</v>
      </c>
      <c r="I40" s="23">
        <v>46204.0</v>
      </c>
      <c r="J40" s="23">
        <f t="shared" si="4"/>
        <v>5</v>
      </c>
      <c r="K40" s="26" t="s">
        <v>42</v>
      </c>
      <c r="L40" s="22" t="s">
        <v>160</v>
      </c>
    </row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">
    <mergeCell ref="A1:L1"/>
    <mergeCell ref="A2:L2"/>
    <mergeCell ref="A4:L4"/>
    <mergeCell ref="A15:L15"/>
    <mergeCell ref="A26:L26"/>
    <mergeCell ref="A35:L3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2026-03-29T01:13:00Z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BC2B2AB027299C78399DC76991B28364_42</vt:lpwstr>
  </property>
  <property fmtid="{D5CDD505-2E9C-101B-9397-08002B2CF9AE}" pid="3" name="KSOProductBuildVer">
    <vt:lpwstr>1033-12.1.23152.23152</vt:lpwstr>
  </property>
</Properties>
</file>